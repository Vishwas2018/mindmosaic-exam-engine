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NAPLAN Year 3" sheetId="2" state="visible" r:id="rId4"/>
    <sheet name="NAPLAN Year 5" sheetId="3" state="visible" r:id="rId5"/>
    <sheet name="ICAS Year 3" sheetId="4" state="visible" r:id="rId6"/>
    <sheet name="ICAS Year 5" sheetId="5" state="visible" r:id="rId7"/>
    <sheet name="Scholarship Y6" sheetId="6" state="visible" r:id="rId8"/>
    <sheet name="Writing" sheetId="7" state="visible" r:id="rId9"/>
    <sheet name="AMC" sheetId="8" state="visible" r:id="rId10"/>
    <sheet name="Source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<sst xmlns="http://schemas.openxmlformats.org/spreadsheetml/2006/main" count="266" uniqueCount="170">
  <si>
    <t xml:space="preserve">MindMosaic programme tracking</t>
  </si>
  <si>
    <t xml:space="preserve">One tab per programme. Live counts are ids returned by getExamBank("practice"), measured 15 Oct 2026.</t>
  </si>
  <si>
    <t xml:space="preserve">Nothing reaches a child without a human publication approval, and none has ever been recorded.</t>
  </si>
  <si>
    <t xml:space="preserve">Programme</t>
  </si>
  <si>
    <t xml:space="preserve">Status</t>
  </si>
  <si>
    <t xml:space="preserve">Live now</t>
  </si>
  <si>
    <t xml:space="preserve">Awaiting your approval</t>
  </si>
  <si>
    <t xml:space="preserve">Drafted, not reviewed</t>
  </si>
  <si>
    <t xml:space="preserve">Deadline</t>
  </si>
  <si>
    <t xml:space="preserve">NAPLAN Year 3</t>
  </si>
  <si>
    <t xml:space="preserve">LIVE</t>
  </si>
  <si>
    <t xml:space="preserve">—</t>
  </si>
  <si>
    <t xml:space="preserve">NAPLAN Year 5</t>
  </si>
  <si>
    <t xml:space="preserve">ICAS Year 3</t>
  </si>
  <si>
    <t xml:space="preserve">ICAS Year 5</t>
  </si>
  <si>
    <t xml:space="preserve">LIVE — THIN</t>
  </si>
  <si>
    <t xml:space="preserve">Scholarship Y6</t>
  </si>
  <si>
    <t xml:space="preserve">NOT LIVE</t>
  </si>
  <si>
    <t xml:space="preserve">13 Feb 2027</t>
  </si>
  <si>
    <t xml:space="preserve">Writing</t>
  </si>
  <si>
    <t xml:space="preserve">AMC</t>
  </si>
  <si>
    <t xml:space="preserve">Total</t>
  </si>
  <si>
    <t xml:space="preserve">Held for revision (defects found by the external blind review)</t>
  </si>
  <si>
    <t xml:space="preserve">Human publication approvals ever recorded in this repository</t>
  </si>
  <si>
    <t xml:space="preserve">Two things block publication, neither of them content:</t>
  </si>
  <si>
    <t xml:space="preserve">1. The approval CSVs are blank. 96 rows need your decisions.</t>
  </si>
  <si>
    <t xml:space="preserve">2. PR #52's publish gate executes JavaScript from candidate data. Must be closed first.</t>
  </si>
  <si>
    <t xml:space="preserve">NAPLAN-style practice — Year 3</t>
  </si>
  <si>
    <t xml:space="preserve">Serving your Grade 3 child today. 44 more items awaiting your approval.</t>
  </si>
  <si>
    <t xml:space="preserve">Status: LIVE</t>
  </si>
  <si>
    <t xml:space="preserve">Subject</t>
  </si>
  <si>
    <t xml:space="preserve">Awaiting approval</t>
  </si>
  <si>
    <t xml:space="preserve">Drafted</t>
  </si>
  <si>
    <t xml:space="preserve">Total potential</t>
  </si>
  <si>
    <t xml:space="preserve">Note</t>
  </si>
  <si>
    <t xml:space="preserve">Numeracy</t>
  </si>
  <si>
    <t xml:space="preserve">Reading</t>
  </si>
  <si>
    <t xml:space="preserve">1 more held for revision</t>
  </si>
  <si>
    <t xml:space="preserve">Language conventions</t>
  </si>
  <si>
    <t xml:space="preserve">Effectively empty — one item only</t>
  </si>
  <si>
    <t xml:space="preserve">Notes</t>
  </si>
  <si>
    <t xml:space="preserve">Both held items are defect fixes: an option naming a 'classroom door' the passage never mentions,</t>
  </si>
  <si>
    <t xml:space="preserve">and a spelling item where 'cosey' is an attested variant of the keyed 'cosy'.</t>
  </si>
  <si>
    <t xml:space="preserve">Difficulty labels: 10 of the 46 reviewed items were flagged as over-labelled.</t>
  </si>
  <si>
    <t xml:space="preserve">Next action</t>
  </si>
  <si>
    <t xml:space="preserve">Fill the 44-row Year 3 approval CSV once Codex reissues it.</t>
  </si>
  <si>
    <t xml:space="preserve">NAPLAN-style practice — Year 5</t>
  </si>
  <si>
    <t xml:space="preserve">Serving your Grade 5 child today. 52 more awaiting approval. Known quality gap — see notes.</t>
  </si>
  <si>
    <t xml:space="preserve">All 22 'too easy' flags landed here</t>
  </si>
  <si>
    <t xml:space="preserve">THE QUALITY GAP: the external blind review flagged 22 items as too easy for Year 5, and all 22</t>
  </si>
  <si>
    <t xml:space="preserve">were Year 5. Reading items are mostly direct retrieval, including some labelled challenging.</t>
  </si>
  <si>
    <t xml:space="preserve">Fix is new harder items (inference, comparison, evidence evaluation), not reworking these.</t>
  </si>
  <si>
    <t xml:space="preserve">A 7-item calibration batch has been commissioned to test the generation recipe.</t>
  </si>
  <si>
    <t xml:space="preserve">Fill the 52-row CSV; separately, run the Year 5 reading calibration batch.</t>
  </si>
  <si>
    <t xml:space="preserve">ICAS-style practice — Year 3</t>
  </si>
  <si>
    <t xml:space="preserve">The best-stocked programme in the bank. Nothing in flight.</t>
  </si>
  <si>
    <t xml:space="preserve">Spelling</t>
  </si>
  <si>
    <t xml:space="preserve">Science</t>
  </si>
  <si>
    <t xml:space="preserve">Outside your stated scope</t>
  </si>
  <si>
    <t xml:space="preserve">Digital technologies</t>
  </si>
  <si>
    <t xml:space="preserve">Effectively empty</t>
  </si>
  <si>
    <t xml:space="preserve">No work in flight and none needed on volume.</t>
  </si>
  <si>
    <t xml:space="preserve">Science and digital technologies sit outside the Grade 3/5 scope in your project brief —</t>
  </si>
  <si>
    <t xml:space="preserve">they are counted here because a child can be served them today.</t>
  </si>
  <si>
    <t xml:space="preserve">None. Leave alone.</t>
  </si>
  <si>
    <t xml:space="preserve">ICAS-style practice — Year 5</t>
  </si>
  <si>
    <t xml:space="preserve">The thinnest live programme. Half the Year 3 equivalent in most subjects.</t>
  </si>
  <si>
    <t xml:space="preserve">Status: LIVE — THIN</t>
  </si>
  <si>
    <t xml:space="preserve">Year 3 has 101 — half</t>
  </si>
  <si>
    <t xml:space="preserve">Year 3 has 94</t>
  </si>
  <si>
    <t xml:space="preserve">Year 3 has 98</t>
  </si>
  <si>
    <t xml:space="preserve">40 drafted, never reviewed</t>
  </si>
  <si>
    <t xml:space="preserve">This is the real volume gap, and it is your Grade 5 child's.</t>
  </si>
  <si>
    <t xml:space="preserve">Reading 51, spelling 45, language conventions 37 — each roughly half the Year 3 figure.</t>
  </si>
  <si>
    <t xml:space="preserve">40 Year 5 science items are drafted but have never entered review.</t>
  </si>
  <si>
    <t xml:space="preserve">Decide whether ICAS Year 5 depth matters before February. If yes, this is the generation target.</t>
  </si>
  <si>
    <t xml:space="preserve">Scholarship-style practice — Year 6</t>
  </si>
  <si>
    <t xml:space="preserve">For the Huntingtower / Edutest exam on Saturday 13 February 2027.</t>
  </si>
  <si>
    <t xml:space="preserve">Status: NOT LIVE</t>
  </si>
  <si>
    <t xml:space="preserve">Verbal reasoning</t>
  </si>
  <si>
    <t xml:space="preserve">One full section paper</t>
  </si>
  <si>
    <t xml:space="preserve">Numerical reasoning</t>
  </si>
  <si>
    <t xml:space="preserve">4 original passages</t>
  </si>
  <si>
    <t xml:space="preserve">Mathematics</t>
  </si>
  <si>
    <t xml:space="preserve">Written expression</t>
  </si>
  <si>
    <t xml:space="preserve">Uses the Writing feature</t>
  </si>
  <si>
    <t xml:space="preserve">Nothing is live. The catalogue entry is hardcoded status: 'coming_soon' at</t>
  </si>
  <si>
    <t xml:space="preserve">src/features/catalogue/catalogue.ts:282 — it is NOT computed from readiness, so someone must</t>
  </si>
  <si>
    <t xml:space="preserve">flip it by hand when content is ready.</t>
  </si>
  <si>
    <t xml:space="preserve">PR #51 is built and CI-green but ships as its own release AFTER the dev-to-main promotion,</t>
  </si>
  <si>
    <t xml:space="preserve">because its migration replaces create_exam_session, the live session function.</t>
  </si>
  <si>
    <t xml:space="preserve">Batch 1+2 gives exactly ONE paper per section. No retake depth yet.</t>
  </si>
  <si>
    <t xml:space="preserve">Review the 160 drafts in chunks before mid-December. This is the only deadline-bound programme.</t>
  </si>
  <si>
    <t xml:space="preserve">Written expression — all years</t>
  </si>
  <si>
    <t xml:space="preserve">Cross-cutting view. The 4 live items are counted under their own exam-style programmes, not added again here.</t>
  </si>
  <si>
    <t xml:space="preserve">1 live item, counted on the NAPLAN Year 3 tab</t>
  </si>
  <si>
    <t xml:space="preserve">1 live item, counted on the NAPLAN Year 5 tab</t>
  </si>
  <si>
    <t xml:space="preserve">1 live item, counted on the ICAS Year 3 tab</t>
  </si>
  <si>
    <t xml:space="preserve">1 live item, counted on the ICAS Year 5 tab</t>
  </si>
  <si>
    <t xml:space="preserve">Scholarship Year 6</t>
  </si>
  <si>
    <t xml:space="preserve">10 prompts drafted</t>
  </si>
  <si>
    <t xml:space="preserve">The timed-writing feature with parent marking is merged to dev (PR #47) but not promoted.</t>
  </si>
  <si>
    <t xml:space="preserve">No AI marking of children's writing, per design.md section 29 — a parent marks against a rubric.</t>
  </si>
  <si>
    <t xml:space="preserve">Writing is a SUBJECT inside each exam style, so the selector counts those 4 items there.</t>
  </si>
  <si>
    <t xml:space="preserve">This tab shows them at zero to avoid double-counting; the Summary total stays at 1,548.</t>
  </si>
  <si>
    <t xml:space="preserve">4 placeholder items across the whole bank is not a usable programme.</t>
  </si>
  <si>
    <t xml:space="preserve">After the promotion: approve the 10 Year 6 prompts.</t>
  </si>
  <si>
    <t xml:space="preserve">AMC-style practice</t>
  </si>
  <si>
    <t xml:space="preserve">60 items drafted, none live. No exam_style rows appear in the served bank.</t>
  </si>
  <si>
    <t xml:space="preserve">Year 3</t>
  </si>
  <si>
    <t xml:space="preserve">Year 5</t>
  </si>
  <si>
    <t xml:space="preserve">Codex's selector breakdown returns only naplan_style and icas_style rows, so amc_style is</t>
  </si>
  <si>
    <t xml:space="preserve">genuinely absent from what a child can be served.</t>
  </si>
  <si>
    <t xml:space="preserve">amc_style was missing from the server scoring contract until PR #51 added it.</t>
  </si>
  <si>
    <t xml:space="preserve">The AMC answer verifier lives at scripts/verify-roadmap-amc-answers.mts with its own solver</t>
  </si>
  <si>
    <t xml:space="preserve">dictionary — one of only two parallel answer records in the repo.</t>
  </si>
  <si>
    <t xml:space="preserve">No action scheduled. Decide whether AMC matters before or after February.</t>
  </si>
  <si>
    <t xml:space="preserve">Where every number came from</t>
  </si>
  <si>
    <t xml:space="preserve">Live counts were produced by running the bank selector, not by reading source files or counting manifests.</t>
  </si>
  <si>
    <t xml:space="preserve">Figure</t>
  </si>
  <si>
    <t xml:space="preserve">Value</t>
  </si>
  <si>
    <t xml:space="preserve">Source</t>
  </si>
  <si>
    <t xml:space="preserve">Live bank, all programmes</t>
  </si>
  <si>
    <t xml:space="preserve">1,548</t>
  </si>
  <si>
    <t xml:space="preserve">getExamBank("practice") — selectedCount 1548, distinctSelectedIds 1548. Codex, practice-bank-breakdown.mts, 15 Oct 2026</t>
  </si>
  <si>
    <t xml:space="preserve">Live split by year</t>
  </si>
  <si>
    <t xml:space="preserve">Y3 914 / Y5 634</t>
  </si>
  <si>
    <t xml:space="preserve">Same script grouped by yearLevel. Reconciles with Claude Code's publishedExamBank 1,548 = questionBank 1,005 + 543 factory-only</t>
  </si>
  <si>
    <t xml:space="preserve">Live per subject</t>
  </si>
  <si>
    <t xml:space="preserve">see each tab</t>
  </si>
  <si>
    <t xml:space="preserve">Grouped by JSON.stringify([yearLevel, examStyle, metadata.subject]) over the selector output</t>
  </si>
  <si>
    <t xml:space="preserve">Year 3 approval sheet</t>
  </si>
  <si>
    <t xml:space="preserve">44 (was 46)</t>
  </si>
  <si>
    <t xml:space="preserve">26 reading + 20 spelling, minus 2 held for revision. All yearLevel 3, state staged, reviewer cells blank</t>
  </si>
  <si>
    <t xml:space="preserve">Year 5 approval sheet</t>
  </si>
  <si>
    <t xml:space="preserve">52</t>
  </si>
  <si>
    <t xml:space="preserve">32 reading + 20 spelling, 5 passages each rendered once, reviewer cells blank</t>
  </si>
  <si>
    <t xml:space="preserve">Items held for revision</t>
  </si>
  <si>
    <t xml:space="preserve">2</t>
  </si>
  <si>
    <t xml:space="preserve">y3-reading-02-q1 (option names a 'classroom door' absent from the passage); y3-spelling-008 ('cosey' is an attested variant of the keyed 'cosy')</t>
  </si>
  <si>
    <t xml:space="preserve">External blind cross-check</t>
  </si>
  <si>
    <t xml:space="preserve">98/98 agree</t>
  </si>
  <si>
    <t xml:space="preserve">ChatGPT answered all 98 with keys and explanations withheld; chose the declared key every time; all evidence quotes verified verbatim</t>
  </si>
  <si>
    <t xml:space="preserve">Difficulty labels over-stated</t>
  </si>
  <si>
    <t xml:space="preserve">22</t>
  </si>
  <si>
    <t xml:space="preserve">Same cross-check: 22 'should be easier', 0 'should be harder'. Independent of the demoted structural gate, which agreed on direction</t>
  </si>
  <si>
    <t xml:space="preserve">Year 5 too easy</t>
  </si>
  <si>
    <t xml:space="preserve">22 of 22</t>
  </si>
  <si>
    <t xml:space="preserve">Every 'too easy' flag in the cross-check was Year 5. Zero Year 3</t>
  </si>
  <si>
    <t xml:space="preserve">Scholarship drafts</t>
  </si>
  <si>
    <t xml:space="preserve">160</t>
  </si>
  <si>
    <t xml:space="preserve">45 verbal + 40 numerical + 35 reading + 40 maths on feat/scholarship-track-core, validated by validate-scholarship-drafts.mts</t>
  </si>
  <si>
    <t xml:space="preserve">AMC drafts</t>
  </si>
  <si>
    <t xml:space="preserve">60</t>
  </si>
  <si>
    <t xml:space="preserve">amc-y3-draft.json 30 + amc-y5-draft.json 30 in content/roadmap-drafts/</t>
  </si>
  <si>
    <t xml:space="preserve">ICAS Y5 science drafts</t>
  </si>
  <si>
    <t xml:space="preserve">40</t>
  </si>
  <si>
    <t xml:space="preserve">content/roadmap-drafts/icas-y5-science-draft.json</t>
  </si>
  <si>
    <t xml:space="preserve">Year 6 writing prompts</t>
  </si>
  <si>
    <t xml:space="preserve">10</t>
  </si>
  <si>
    <t xml:space="preserve">content/writing-drafts/year6-written-expression-draft.json</t>
  </si>
  <si>
    <t xml:space="preserve">Publication approvals ever recorded</t>
  </si>
  <si>
    <t xml:space="preserve">0</t>
  </si>
  <si>
    <t xml:space="preserve">content/publication-approvals/*.json has never existed on any branch in the repository's history — checked across all refs</t>
  </si>
  <si>
    <t xml:space="preserve">Scholarship catalogue gate</t>
  </si>
  <si>
    <t xml:space="preserve">status: "coming_soon"</t>
  </si>
  <si>
    <t xml:space="preserve">src/features/catalogue/catalogue.ts:282 — hardcoded, not computed from readiness</t>
  </si>
  <si>
    <t xml:space="preserve">Exam date</t>
  </si>
  <si>
    <t xml:space="preserve">Sat 13 Feb 2027</t>
  </si>
  <si>
    <t xml:space="preserve">Huntingtower scholarships page, Edutest-administered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</si>
</sst>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  <fill>
      <patternFill patternType="solid">
        <fgColor rgb="FFF8CBAD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5" min="4" style="0" width="22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26.8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customFormat="false" ht="15" hidden="false" customHeight="false" outlineLevel="0" collapsed="false">
      <c r="A6" s="4" t="s">
        <v>9</v>
      </c>
      <c r="B6" s="5" t="s">
        <v>10</v>
      </c>
      <c r="C6" s="4" t="n">
        <v>322</v>
      </c>
      <c r="D6" s="4" t="n">
        <v>44</v>
      </c>
      <c r="E6" s="4" t="n">
        <v>0</v>
      </c>
      <c r="F6" s="4" t="s">
        <v>11</v>
      </c>
    </row>
    <row r="7" customFormat="false" ht="15" hidden="false" customHeight="false" outlineLevel="0" collapsed="false">
      <c r="A7" s="4" t="s">
        <v>12</v>
      </c>
      <c r="B7" s="5" t="s">
        <v>10</v>
      </c>
      <c r="C7" s="4" t="n">
        <v>353</v>
      </c>
      <c r="D7" s="4" t="n">
        <v>52</v>
      </c>
      <c r="E7" s="4" t="n">
        <v>0</v>
      </c>
      <c r="F7" s="4" t="s">
        <v>11</v>
      </c>
    </row>
    <row r="8" customFormat="false" ht="15" hidden="false" customHeight="false" outlineLevel="0" collapsed="false">
      <c r="A8" s="4" t="s">
        <v>13</v>
      </c>
      <c r="B8" s="5" t="s">
        <v>10</v>
      </c>
      <c r="C8" s="4" t="n">
        <v>592</v>
      </c>
      <c r="D8" s="4" t="n">
        <v>0</v>
      </c>
      <c r="E8" s="4" t="n">
        <v>0</v>
      </c>
      <c r="F8" s="4" t="s">
        <v>11</v>
      </c>
    </row>
    <row r="9" customFormat="false" ht="15" hidden="false" customHeight="false" outlineLevel="0" collapsed="false">
      <c r="A9" s="4" t="s">
        <v>14</v>
      </c>
      <c r="B9" s="6" t="s">
        <v>15</v>
      </c>
      <c r="C9" s="4" t="n">
        <v>281</v>
      </c>
      <c r="D9" s="4" t="n">
        <v>0</v>
      </c>
      <c r="E9" s="4" t="n">
        <v>40</v>
      </c>
      <c r="F9" s="4" t="s">
        <v>11</v>
      </c>
    </row>
    <row r="10" customFormat="false" ht="15" hidden="false" customHeight="false" outlineLevel="0" collapsed="false">
      <c r="A10" s="4" t="s">
        <v>16</v>
      </c>
      <c r="B10" s="7" t="s">
        <v>17</v>
      </c>
      <c r="C10" s="4" t="n">
        <v>0</v>
      </c>
      <c r="D10" s="4" t="n">
        <v>0</v>
      </c>
      <c r="E10" s="4" t="n">
        <v>160</v>
      </c>
      <c r="F10" s="4" t="s">
        <v>18</v>
      </c>
    </row>
    <row r="11" customFormat="false" ht="15" hidden="false" customHeight="false" outlineLevel="0" collapsed="false">
      <c r="A11" s="4" t="s">
        <v>19</v>
      </c>
      <c r="B11" s="7" t="s">
        <v>17</v>
      </c>
      <c r="C11" s="4" t="n">
        <v>0</v>
      </c>
      <c r="D11" s="4" t="n">
        <v>0</v>
      </c>
      <c r="E11" s="4" t="n">
        <v>10</v>
      </c>
      <c r="F11" s="4" t="s">
        <v>11</v>
      </c>
    </row>
    <row r="12" customFormat="false" ht="15" hidden="false" customHeight="false" outlineLevel="0" collapsed="false">
      <c r="A12" s="4" t="s">
        <v>20</v>
      </c>
      <c r="B12" s="7" t="s">
        <v>17</v>
      </c>
      <c r="C12" s="4" t="n">
        <v>0</v>
      </c>
      <c r="D12" s="4" t="n">
        <v>0</v>
      </c>
      <c r="E12" s="4" t="n">
        <v>60</v>
      </c>
      <c r="F12" s="4" t="s">
        <v>11</v>
      </c>
    </row>
    <row r="13" customFormat="false" ht="15" hidden="false" customHeight="false" outlineLevel="0" collapsed="false">
      <c r="A13" s="8" t="s">
        <v>21</v>
      </c>
      <c r="B13" s="9"/>
      <c r="C13" s="8" t="n">
        <f aca="false">SUM(C6:C12)</f>
        <v>1548</v>
      </c>
      <c r="D13" s="8" t="n">
        <f aca="false">SUM(D6:D12)</f>
        <v>96</v>
      </c>
      <c r="E13" s="8" t="n">
        <f aca="false">SUM(E6:E12)</f>
        <v>270</v>
      </c>
      <c r="F13" s="9"/>
    </row>
    <row r="15" customFormat="false" ht="15" hidden="false" customHeight="false" outlineLevel="0" collapsed="false">
      <c r="A15" s="10" t="s">
        <v>22</v>
      </c>
      <c r="D15" s="10" t="n">
        <v>2</v>
      </c>
    </row>
    <row r="16" customFormat="false" ht="15" hidden="false" customHeight="false" outlineLevel="0" collapsed="false">
      <c r="A16" s="10" t="s">
        <v>23</v>
      </c>
      <c r="D16" s="11" t="n">
        <v>0</v>
      </c>
    </row>
    <row r="18" customFormat="false" ht="15" hidden="false" customHeight="false" outlineLevel="0" collapsed="false">
      <c r="A18" s="10" t="s">
        <v>24</v>
      </c>
    </row>
    <row r="19" customFormat="false" ht="15" hidden="false" customHeight="false" outlineLevel="0" collapsed="false">
      <c r="A19" s="12" t="s">
        <v>25</v>
      </c>
    </row>
    <row r="20" customFormat="false" ht="15" hidden="false" customHeight="false" outlineLevel="0" collapsed="false">
      <c r="A20" s="12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"/>
    <col collapsed="false" customWidth="true" hidden="false" outlineLevel="0" max="3" min="3" style="0" width="18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44"/>
  </cols>
  <sheetData>
    <row r="1" customFormat="false" ht="17.35" hidden="false" customHeight="false" outlineLevel="0" collapsed="false">
      <c r="A1" s="1" t="s">
        <v>27</v>
      </c>
    </row>
    <row r="2" customFormat="false" ht="15" hidden="false" customHeight="false" outlineLevel="0" collapsed="false">
      <c r="A2" s="2" t="s">
        <v>28</v>
      </c>
    </row>
    <row r="3" customFormat="false" ht="15" hidden="false" customHeight="false" outlineLevel="0" collapsed="false">
      <c r="A3" s="13" t="s">
        <v>29</v>
      </c>
    </row>
    <row r="5" customFormat="false" ht="26.85" hidden="false" customHeight="false" outlineLevel="0" collapsed="false">
      <c r="A5" s="3" t="s">
        <v>30</v>
      </c>
      <c r="B5" s="3" t="s">
        <v>5</v>
      </c>
      <c r="C5" s="3" t="s">
        <v>31</v>
      </c>
      <c r="D5" s="3" t="s">
        <v>32</v>
      </c>
      <c r="E5" s="3" t="s">
        <v>33</v>
      </c>
      <c r="F5" s="3" t="s">
        <v>34</v>
      </c>
    </row>
    <row r="6" customFormat="false" ht="15" hidden="false" customHeight="false" outlineLevel="0" collapsed="false">
      <c r="A6" s="14" t="s">
        <v>35</v>
      </c>
      <c r="B6" s="14" t="n">
        <v>128</v>
      </c>
      <c r="C6" s="14" t="n">
        <v>0</v>
      </c>
      <c r="D6" s="14" t="n">
        <v>0</v>
      </c>
      <c r="E6" s="14" t="n">
        <f aca="false">B6+C6+D6</f>
        <v>128</v>
      </c>
      <c r="F6" s="14"/>
    </row>
    <row r="7" customFormat="false" ht="15" hidden="false" customHeight="false" outlineLevel="0" collapsed="false">
      <c r="A7" s="14" t="s">
        <v>36</v>
      </c>
      <c r="B7" s="14" t="n">
        <v>97</v>
      </c>
      <c r="C7" s="14" t="n">
        <v>25</v>
      </c>
      <c r="D7" s="14" t="n">
        <v>0</v>
      </c>
      <c r="E7" s="14" t="n">
        <f aca="false">B7+C7+D7</f>
        <v>122</v>
      </c>
      <c r="F7" s="14" t="s">
        <v>37</v>
      </c>
    </row>
    <row r="8" customFormat="false" ht="15" hidden="false" customHeight="false" outlineLevel="0" collapsed="false">
      <c r="A8" s="14" t="s">
        <v>38</v>
      </c>
      <c r="B8" s="14" t="n">
        <v>96</v>
      </c>
      <c r="C8" s="14" t="n">
        <v>19</v>
      </c>
      <c r="D8" s="14" t="n">
        <v>0</v>
      </c>
      <c r="E8" s="14" t="n">
        <f aca="false">B8+C8+D8</f>
        <v>115</v>
      </c>
      <c r="F8" s="14" t="s">
        <v>37</v>
      </c>
    </row>
    <row r="9" customFormat="false" ht="15" hidden="false" customHeight="false" outlineLevel="0" collapsed="false">
      <c r="A9" s="14" t="s">
        <v>19</v>
      </c>
      <c r="B9" s="15" t="n">
        <v>1</v>
      </c>
      <c r="C9" s="14" t="n">
        <v>0</v>
      </c>
      <c r="D9" s="14" t="n">
        <v>0</v>
      </c>
      <c r="E9" s="14" t="n">
        <f aca="false">B9+C9+D9</f>
        <v>1</v>
      </c>
      <c r="F9" s="14" t="s">
        <v>39</v>
      </c>
    </row>
    <row r="10" customFormat="false" ht="15" hidden="false" customHeight="false" outlineLevel="0" collapsed="false">
      <c r="A10" s="8" t="s">
        <v>21</v>
      </c>
      <c r="B10" s="8" t="n">
        <f aca="false">SUM(B6:B9)</f>
        <v>322</v>
      </c>
      <c r="C10" s="8" t="n">
        <f aca="false">SUM(C6:C9)</f>
        <v>44</v>
      </c>
      <c r="D10" s="8" t="n">
        <f aca="false">SUM(D6:D9)</f>
        <v>0</v>
      </c>
      <c r="E10" s="8" t="n">
        <f aca="false">SUM(E6:E9)</f>
        <v>366</v>
      </c>
      <c r="F10" s="9"/>
    </row>
    <row r="12" customFormat="false" ht="15" hidden="false" customHeight="false" outlineLevel="0" collapsed="false">
      <c r="A12" s="10" t="s">
        <v>40</v>
      </c>
    </row>
    <row r="13" customFormat="false" ht="15" hidden="false" customHeight="false" outlineLevel="0" collapsed="false">
      <c r="A13" s="12" t="s">
        <v>41</v>
      </c>
    </row>
    <row r="14" customFormat="false" ht="15" hidden="false" customHeight="false" outlineLevel="0" collapsed="false">
      <c r="A14" s="12" t="s">
        <v>42</v>
      </c>
    </row>
    <row r="15" customFormat="false" ht="15" hidden="false" customHeight="false" outlineLevel="0" collapsed="false">
      <c r="A15" s="12" t="s">
        <v>43</v>
      </c>
    </row>
    <row r="17" customFormat="false" ht="77.6" hidden="false" customHeight="false" outlineLevel="0" collapsed="false">
      <c r="A17" s="10" t="s">
        <v>44</v>
      </c>
      <c r="B17" s="16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"/>
    <col collapsed="false" customWidth="true" hidden="false" outlineLevel="0" max="3" min="3" style="0" width="18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44"/>
  </cols>
  <sheetData>
    <row r="1" customFormat="false" ht="17.35" hidden="false" customHeight="false" outlineLevel="0" collapsed="false">
      <c r="A1" s="1" t="s">
        <v>46</v>
      </c>
    </row>
    <row r="2" customFormat="false" ht="15" hidden="false" customHeight="false" outlineLevel="0" collapsed="false">
      <c r="A2" s="2" t="s">
        <v>47</v>
      </c>
    </row>
    <row r="3" customFormat="false" ht="15" hidden="false" customHeight="false" outlineLevel="0" collapsed="false">
      <c r="A3" s="13" t="s">
        <v>29</v>
      </c>
    </row>
    <row r="5" customFormat="false" ht="26.85" hidden="false" customHeight="false" outlineLevel="0" collapsed="false">
      <c r="A5" s="3" t="s">
        <v>30</v>
      </c>
      <c r="B5" s="3" t="s">
        <v>5</v>
      </c>
      <c r="C5" s="3" t="s">
        <v>31</v>
      </c>
      <c r="D5" s="3" t="s">
        <v>32</v>
      </c>
      <c r="E5" s="3" t="s">
        <v>33</v>
      </c>
      <c r="F5" s="3" t="s">
        <v>34</v>
      </c>
    </row>
    <row r="6" customFormat="false" ht="15" hidden="false" customHeight="false" outlineLevel="0" collapsed="false">
      <c r="A6" s="14" t="s">
        <v>35</v>
      </c>
      <c r="B6" s="14" t="n">
        <v>164</v>
      </c>
      <c r="C6" s="14" t="n">
        <v>0</v>
      </c>
      <c r="D6" s="14" t="n">
        <v>0</v>
      </c>
      <c r="E6" s="14" t="n">
        <f aca="false">B6+C6+D6</f>
        <v>164</v>
      </c>
      <c r="F6" s="14"/>
    </row>
    <row r="7" customFormat="false" ht="15" hidden="false" customHeight="false" outlineLevel="0" collapsed="false">
      <c r="A7" s="14" t="s">
        <v>36</v>
      </c>
      <c r="B7" s="14" t="n">
        <v>106</v>
      </c>
      <c r="C7" s="14" t="n">
        <v>32</v>
      </c>
      <c r="D7" s="14" t="n">
        <v>0</v>
      </c>
      <c r="E7" s="14" t="n">
        <f aca="false">B7+C7+D7</f>
        <v>138</v>
      </c>
      <c r="F7" s="14" t="s">
        <v>48</v>
      </c>
    </row>
    <row r="8" customFormat="false" ht="15" hidden="false" customHeight="false" outlineLevel="0" collapsed="false">
      <c r="A8" s="14" t="s">
        <v>38</v>
      </c>
      <c r="B8" s="14" t="n">
        <v>82</v>
      </c>
      <c r="C8" s="14" t="n">
        <v>20</v>
      </c>
      <c r="D8" s="14" t="n">
        <v>0</v>
      </c>
      <c r="E8" s="14" t="n">
        <f aca="false">B8+C8+D8</f>
        <v>102</v>
      </c>
      <c r="F8" s="14"/>
    </row>
    <row r="9" customFormat="false" ht="15" hidden="false" customHeight="false" outlineLevel="0" collapsed="false">
      <c r="A9" s="14" t="s">
        <v>19</v>
      </c>
      <c r="B9" s="15" t="n">
        <v>1</v>
      </c>
      <c r="C9" s="14" t="n">
        <v>0</v>
      </c>
      <c r="D9" s="14" t="n">
        <v>0</v>
      </c>
      <c r="E9" s="14" t="n">
        <f aca="false">B9+C9+D9</f>
        <v>1</v>
      </c>
      <c r="F9" s="14" t="s">
        <v>39</v>
      </c>
    </row>
    <row r="10" customFormat="false" ht="15" hidden="false" customHeight="false" outlineLevel="0" collapsed="false">
      <c r="A10" s="8" t="s">
        <v>21</v>
      </c>
      <c r="B10" s="8" t="n">
        <f aca="false">SUM(B6:B9)</f>
        <v>353</v>
      </c>
      <c r="C10" s="8" t="n">
        <f aca="false">SUM(C6:C9)</f>
        <v>52</v>
      </c>
      <c r="D10" s="8" t="n">
        <f aca="false">SUM(D6:D9)</f>
        <v>0</v>
      </c>
      <c r="E10" s="8" t="n">
        <f aca="false">SUM(E6:E9)</f>
        <v>405</v>
      </c>
      <c r="F10" s="9"/>
    </row>
    <row r="12" customFormat="false" ht="15" hidden="false" customHeight="false" outlineLevel="0" collapsed="false">
      <c r="A12" s="10" t="s">
        <v>40</v>
      </c>
    </row>
    <row r="13" customFormat="false" ht="15" hidden="false" customHeight="false" outlineLevel="0" collapsed="false">
      <c r="A13" s="12" t="s">
        <v>49</v>
      </c>
    </row>
    <row r="14" customFormat="false" ht="15" hidden="false" customHeight="false" outlineLevel="0" collapsed="false">
      <c r="A14" s="12" t="s">
        <v>50</v>
      </c>
    </row>
    <row r="15" customFormat="false" ht="15" hidden="false" customHeight="false" outlineLevel="0" collapsed="false">
      <c r="A15" s="12" t="s">
        <v>51</v>
      </c>
    </row>
    <row r="16" customFormat="false" ht="15" hidden="false" customHeight="false" outlineLevel="0" collapsed="false">
      <c r="A16" s="12" t="s">
        <v>52</v>
      </c>
    </row>
    <row r="18" customFormat="false" ht="102.95" hidden="false" customHeight="false" outlineLevel="0" collapsed="false">
      <c r="A18" s="10" t="s">
        <v>44</v>
      </c>
      <c r="B18" s="16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"/>
    <col collapsed="false" customWidth="true" hidden="false" outlineLevel="0" max="3" min="3" style="0" width="18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44"/>
  </cols>
  <sheetData>
    <row r="1" customFormat="false" ht="17.35" hidden="false" customHeight="false" outlineLevel="0" collapsed="false">
      <c r="A1" s="1" t="s">
        <v>54</v>
      </c>
    </row>
    <row r="2" customFormat="false" ht="15" hidden="false" customHeight="false" outlineLevel="0" collapsed="false">
      <c r="A2" s="2" t="s">
        <v>55</v>
      </c>
    </row>
    <row r="3" customFormat="false" ht="15" hidden="false" customHeight="false" outlineLevel="0" collapsed="false">
      <c r="A3" s="13" t="s">
        <v>29</v>
      </c>
    </row>
    <row r="5" customFormat="false" ht="26.85" hidden="false" customHeight="false" outlineLevel="0" collapsed="false">
      <c r="A5" s="3" t="s">
        <v>30</v>
      </c>
      <c r="B5" s="3" t="s">
        <v>5</v>
      </c>
      <c r="C5" s="3" t="s">
        <v>31</v>
      </c>
      <c r="D5" s="3" t="s">
        <v>32</v>
      </c>
      <c r="E5" s="3" t="s">
        <v>33</v>
      </c>
      <c r="F5" s="3" t="s">
        <v>34</v>
      </c>
    </row>
    <row r="6" customFormat="false" ht="15" hidden="false" customHeight="false" outlineLevel="0" collapsed="false">
      <c r="A6" s="14" t="s">
        <v>35</v>
      </c>
      <c r="B6" s="14" t="n">
        <v>101</v>
      </c>
      <c r="C6" s="14" t="n">
        <v>0</v>
      </c>
      <c r="D6" s="14" t="n">
        <v>0</v>
      </c>
      <c r="E6" s="14" t="n">
        <f aca="false">B6+C6+D6</f>
        <v>101</v>
      </c>
      <c r="F6" s="14"/>
    </row>
    <row r="7" customFormat="false" ht="15" hidden="false" customHeight="false" outlineLevel="0" collapsed="false">
      <c r="A7" s="14" t="s">
        <v>36</v>
      </c>
      <c r="B7" s="14" t="n">
        <v>101</v>
      </c>
      <c r="C7" s="14" t="n">
        <v>0</v>
      </c>
      <c r="D7" s="14" t="n">
        <v>0</v>
      </c>
      <c r="E7" s="14" t="n">
        <f aca="false">B7+C7+D7</f>
        <v>101</v>
      </c>
      <c r="F7" s="14"/>
    </row>
    <row r="8" customFormat="false" ht="15" hidden="false" customHeight="false" outlineLevel="0" collapsed="false">
      <c r="A8" s="14" t="s">
        <v>38</v>
      </c>
      <c r="B8" s="14" t="n">
        <v>94</v>
      </c>
      <c r="C8" s="14" t="n">
        <v>0</v>
      </c>
      <c r="D8" s="14" t="n">
        <v>0</v>
      </c>
      <c r="E8" s="14" t="n">
        <f aca="false">B8+C8+D8</f>
        <v>94</v>
      </c>
      <c r="F8" s="14"/>
    </row>
    <row r="9" customFormat="false" ht="15" hidden="false" customHeight="false" outlineLevel="0" collapsed="false">
      <c r="A9" s="14" t="s">
        <v>56</v>
      </c>
      <c r="B9" s="14" t="n">
        <v>98</v>
      </c>
      <c r="C9" s="14" t="n">
        <v>0</v>
      </c>
      <c r="D9" s="14" t="n">
        <v>0</v>
      </c>
      <c r="E9" s="14" t="n">
        <f aca="false">B9+C9+D9</f>
        <v>98</v>
      </c>
      <c r="F9" s="14"/>
    </row>
    <row r="10" customFormat="false" ht="15" hidden="false" customHeight="false" outlineLevel="0" collapsed="false">
      <c r="A10" s="14" t="s">
        <v>57</v>
      </c>
      <c r="B10" s="14" t="n">
        <v>99</v>
      </c>
      <c r="C10" s="14" t="n">
        <v>0</v>
      </c>
      <c r="D10" s="14" t="n">
        <v>0</v>
      </c>
      <c r="E10" s="14" t="n">
        <f aca="false">B10+C10+D10</f>
        <v>99</v>
      </c>
      <c r="F10" s="14" t="s">
        <v>58</v>
      </c>
    </row>
    <row r="11" customFormat="false" ht="15" hidden="false" customHeight="false" outlineLevel="0" collapsed="false">
      <c r="A11" s="14" t="s">
        <v>59</v>
      </c>
      <c r="B11" s="14" t="n">
        <v>98</v>
      </c>
      <c r="C11" s="14" t="n">
        <v>0</v>
      </c>
      <c r="D11" s="14" t="n">
        <v>0</v>
      </c>
      <c r="E11" s="14" t="n">
        <f aca="false">B11+C11+D11</f>
        <v>98</v>
      </c>
      <c r="F11" s="14" t="s">
        <v>58</v>
      </c>
    </row>
    <row r="12" customFormat="false" ht="15" hidden="false" customHeight="false" outlineLevel="0" collapsed="false">
      <c r="A12" s="14" t="s">
        <v>19</v>
      </c>
      <c r="B12" s="15" t="n">
        <v>1</v>
      </c>
      <c r="C12" s="14" t="n">
        <v>0</v>
      </c>
      <c r="D12" s="14" t="n">
        <v>0</v>
      </c>
      <c r="E12" s="14" t="n">
        <f aca="false">B12+C12+D12</f>
        <v>1</v>
      </c>
      <c r="F12" s="14" t="s">
        <v>60</v>
      </c>
    </row>
    <row r="13" customFormat="false" ht="15" hidden="false" customHeight="false" outlineLevel="0" collapsed="false">
      <c r="A13" s="8" t="s">
        <v>21</v>
      </c>
      <c r="B13" s="8" t="n">
        <f aca="false">SUM(B6:B12)</f>
        <v>592</v>
      </c>
      <c r="C13" s="8" t="n">
        <f aca="false">SUM(C6:C12)</f>
        <v>0</v>
      </c>
      <c r="D13" s="8" t="n">
        <f aca="false">SUM(D6:D12)</f>
        <v>0</v>
      </c>
      <c r="E13" s="8" t="n">
        <f aca="false">SUM(E6:E12)</f>
        <v>592</v>
      </c>
      <c r="F13" s="9"/>
    </row>
    <row r="15" customFormat="false" ht="15" hidden="false" customHeight="false" outlineLevel="0" collapsed="false">
      <c r="A15" s="10" t="s">
        <v>40</v>
      </c>
    </row>
    <row r="16" customFormat="false" ht="15" hidden="false" customHeight="false" outlineLevel="0" collapsed="false">
      <c r="A16" s="12" t="s">
        <v>61</v>
      </c>
    </row>
    <row r="17" customFormat="false" ht="15" hidden="false" customHeight="false" outlineLevel="0" collapsed="false">
      <c r="A17" s="12" t="s">
        <v>62</v>
      </c>
    </row>
    <row r="18" customFormat="false" ht="15" hidden="false" customHeight="false" outlineLevel="0" collapsed="false">
      <c r="A18" s="12" t="s">
        <v>63</v>
      </c>
    </row>
    <row r="20" customFormat="false" ht="39.55" hidden="false" customHeight="false" outlineLevel="0" collapsed="false">
      <c r="A20" s="10" t="s">
        <v>44</v>
      </c>
      <c r="B20" s="16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"/>
    <col collapsed="false" customWidth="true" hidden="false" outlineLevel="0" max="3" min="3" style="0" width="18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44"/>
  </cols>
  <sheetData>
    <row r="1" customFormat="false" ht="17.35" hidden="false" customHeight="false" outlineLevel="0" collapsed="false">
      <c r="A1" s="1" t="s">
        <v>65</v>
      </c>
    </row>
    <row r="2" customFormat="false" ht="15" hidden="false" customHeight="false" outlineLevel="0" collapsed="false">
      <c r="A2" s="2" t="s">
        <v>66</v>
      </c>
    </row>
    <row r="3" customFormat="false" ht="15" hidden="false" customHeight="false" outlineLevel="0" collapsed="false">
      <c r="A3" s="17" t="s">
        <v>67</v>
      </c>
    </row>
    <row r="5" customFormat="false" ht="26.85" hidden="false" customHeight="false" outlineLevel="0" collapsed="false">
      <c r="A5" s="3" t="s">
        <v>30</v>
      </c>
      <c r="B5" s="3" t="s">
        <v>5</v>
      </c>
      <c r="C5" s="3" t="s">
        <v>31</v>
      </c>
      <c r="D5" s="3" t="s">
        <v>32</v>
      </c>
      <c r="E5" s="3" t="s">
        <v>33</v>
      </c>
      <c r="F5" s="3" t="s">
        <v>34</v>
      </c>
    </row>
    <row r="6" customFormat="false" ht="15" hidden="false" customHeight="false" outlineLevel="0" collapsed="false">
      <c r="A6" s="14" t="s">
        <v>35</v>
      </c>
      <c r="B6" s="14" t="n">
        <v>112</v>
      </c>
      <c r="C6" s="14" t="n">
        <v>0</v>
      </c>
      <c r="D6" s="14" t="n">
        <v>0</v>
      </c>
      <c r="E6" s="14" t="n">
        <f aca="false">B6+C6+D6</f>
        <v>112</v>
      </c>
      <c r="F6" s="14"/>
    </row>
    <row r="7" customFormat="false" ht="15" hidden="false" customHeight="false" outlineLevel="0" collapsed="false">
      <c r="A7" s="14" t="s">
        <v>36</v>
      </c>
      <c r="B7" s="18" t="n">
        <v>51</v>
      </c>
      <c r="C7" s="14" t="n">
        <v>0</v>
      </c>
      <c r="D7" s="14" t="n">
        <v>0</v>
      </c>
      <c r="E7" s="14" t="n">
        <f aca="false">B7+C7+D7</f>
        <v>51</v>
      </c>
      <c r="F7" s="14" t="s">
        <v>68</v>
      </c>
    </row>
    <row r="8" customFormat="false" ht="15" hidden="false" customHeight="false" outlineLevel="0" collapsed="false">
      <c r="A8" s="14" t="s">
        <v>38</v>
      </c>
      <c r="B8" s="18" t="n">
        <v>37</v>
      </c>
      <c r="C8" s="14" t="n">
        <v>0</v>
      </c>
      <c r="D8" s="14" t="n">
        <v>0</v>
      </c>
      <c r="E8" s="14" t="n">
        <f aca="false">B8+C8+D8</f>
        <v>37</v>
      </c>
      <c r="F8" s="14" t="s">
        <v>69</v>
      </c>
    </row>
    <row r="9" customFormat="false" ht="15" hidden="false" customHeight="false" outlineLevel="0" collapsed="false">
      <c r="A9" s="14" t="s">
        <v>56</v>
      </c>
      <c r="B9" s="18" t="n">
        <v>45</v>
      </c>
      <c r="C9" s="14" t="n">
        <v>0</v>
      </c>
      <c r="D9" s="14" t="n">
        <v>0</v>
      </c>
      <c r="E9" s="14" t="n">
        <f aca="false">B9+C9+D9</f>
        <v>45</v>
      </c>
      <c r="F9" s="14" t="s">
        <v>70</v>
      </c>
    </row>
    <row r="10" customFormat="false" ht="15" hidden="false" customHeight="false" outlineLevel="0" collapsed="false">
      <c r="A10" s="14" t="s">
        <v>57</v>
      </c>
      <c r="B10" s="15" t="n">
        <v>0</v>
      </c>
      <c r="C10" s="14" t="n">
        <v>0</v>
      </c>
      <c r="D10" s="14" t="n">
        <v>40</v>
      </c>
      <c r="E10" s="14" t="n">
        <f aca="false">B10+C10+D10</f>
        <v>40</v>
      </c>
      <c r="F10" s="14" t="s">
        <v>71</v>
      </c>
    </row>
    <row r="11" customFormat="false" ht="15" hidden="false" customHeight="false" outlineLevel="0" collapsed="false">
      <c r="A11" s="14" t="s">
        <v>59</v>
      </c>
      <c r="B11" s="18" t="n">
        <v>35</v>
      </c>
      <c r="C11" s="14" t="n">
        <v>0</v>
      </c>
      <c r="D11" s="14" t="n">
        <v>0</v>
      </c>
      <c r="E11" s="14" t="n">
        <f aca="false">B11+C11+D11</f>
        <v>35</v>
      </c>
      <c r="F11" s="14"/>
    </row>
    <row r="12" customFormat="false" ht="15" hidden="false" customHeight="false" outlineLevel="0" collapsed="false">
      <c r="A12" s="14" t="s">
        <v>19</v>
      </c>
      <c r="B12" s="15" t="n">
        <v>1</v>
      </c>
      <c r="C12" s="14" t="n">
        <v>0</v>
      </c>
      <c r="D12" s="14" t="n">
        <v>0</v>
      </c>
      <c r="E12" s="14" t="n">
        <f aca="false">B12+C12+D12</f>
        <v>1</v>
      </c>
      <c r="F12" s="14" t="s">
        <v>60</v>
      </c>
    </row>
    <row r="13" customFormat="false" ht="15" hidden="false" customHeight="false" outlineLevel="0" collapsed="false">
      <c r="A13" s="8" t="s">
        <v>21</v>
      </c>
      <c r="B13" s="8" t="n">
        <f aca="false">SUM(B6:B12)</f>
        <v>281</v>
      </c>
      <c r="C13" s="8" t="n">
        <f aca="false">SUM(C6:C12)</f>
        <v>0</v>
      </c>
      <c r="D13" s="8" t="n">
        <f aca="false">SUM(D6:D12)</f>
        <v>40</v>
      </c>
      <c r="E13" s="8" t="n">
        <f aca="false">SUM(E6:E12)</f>
        <v>321</v>
      </c>
      <c r="F13" s="9"/>
    </row>
    <row r="15" customFormat="false" ht="15" hidden="false" customHeight="false" outlineLevel="0" collapsed="false">
      <c r="A15" s="10" t="s">
        <v>40</v>
      </c>
    </row>
    <row r="16" customFormat="false" ht="15" hidden="false" customHeight="false" outlineLevel="0" collapsed="false">
      <c r="A16" s="12" t="s">
        <v>72</v>
      </c>
    </row>
    <row r="17" customFormat="false" ht="15" hidden="false" customHeight="false" outlineLevel="0" collapsed="false">
      <c r="A17" s="12" t="s">
        <v>73</v>
      </c>
    </row>
    <row r="18" customFormat="false" ht="15" hidden="false" customHeight="false" outlineLevel="0" collapsed="false">
      <c r="A18" s="12" t="s">
        <v>74</v>
      </c>
    </row>
    <row r="20" customFormat="false" ht="141" hidden="false" customHeight="false" outlineLevel="0" collapsed="false">
      <c r="A20" s="10" t="s">
        <v>44</v>
      </c>
      <c r="B20" s="16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"/>
    <col collapsed="false" customWidth="true" hidden="false" outlineLevel="0" max="3" min="3" style="0" width="18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44"/>
  </cols>
  <sheetData>
    <row r="1" customFormat="false" ht="17.35" hidden="false" customHeight="false" outlineLevel="0" collapsed="false">
      <c r="A1" s="1" t="s">
        <v>76</v>
      </c>
    </row>
    <row r="2" customFormat="false" ht="15" hidden="false" customHeight="false" outlineLevel="0" collapsed="false">
      <c r="A2" s="2" t="s">
        <v>77</v>
      </c>
    </row>
    <row r="3" customFormat="false" ht="15" hidden="false" customHeight="false" outlineLevel="0" collapsed="false">
      <c r="A3" s="11" t="s">
        <v>78</v>
      </c>
    </row>
    <row r="5" customFormat="false" ht="26.85" hidden="false" customHeight="false" outlineLevel="0" collapsed="false">
      <c r="A5" s="3" t="s">
        <v>30</v>
      </c>
      <c r="B5" s="3" t="s">
        <v>5</v>
      </c>
      <c r="C5" s="3" t="s">
        <v>31</v>
      </c>
      <c r="D5" s="3" t="s">
        <v>32</v>
      </c>
      <c r="E5" s="3" t="s">
        <v>33</v>
      </c>
      <c r="F5" s="3" t="s">
        <v>34</v>
      </c>
    </row>
    <row r="6" customFormat="false" ht="15" hidden="false" customHeight="false" outlineLevel="0" collapsed="false">
      <c r="A6" s="14" t="s">
        <v>79</v>
      </c>
      <c r="B6" s="15" t="n">
        <v>0</v>
      </c>
      <c r="C6" s="14" t="n">
        <v>0</v>
      </c>
      <c r="D6" s="14" t="n">
        <v>45</v>
      </c>
      <c r="E6" s="14" t="n">
        <f aca="false">B6+C6+D6</f>
        <v>45</v>
      </c>
      <c r="F6" s="14" t="s">
        <v>80</v>
      </c>
    </row>
    <row r="7" customFormat="false" ht="15" hidden="false" customHeight="false" outlineLevel="0" collapsed="false">
      <c r="A7" s="14" t="s">
        <v>81</v>
      </c>
      <c r="B7" s="15" t="n">
        <v>0</v>
      </c>
      <c r="C7" s="14" t="n">
        <v>0</v>
      </c>
      <c r="D7" s="14" t="n">
        <v>40</v>
      </c>
      <c r="E7" s="14" t="n">
        <f aca="false">B7+C7+D7</f>
        <v>40</v>
      </c>
      <c r="F7" s="14" t="s">
        <v>80</v>
      </c>
    </row>
    <row r="8" customFormat="false" ht="15" hidden="false" customHeight="false" outlineLevel="0" collapsed="false">
      <c r="A8" s="14" t="s">
        <v>36</v>
      </c>
      <c r="B8" s="15" t="n">
        <v>0</v>
      </c>
      <c r="C8" s="14" t="n">
        <v>0</v>
      </c>
      <c r="D8" s="14" t="n">
        <v>35</v>
      </c>
      <c r="E8" s="14" t="n">
        <f aca="false">B8+C8+D8</f>
        <v>35</v>
      </c>
      <c r="F8" s="14" t="s">
        <v>82</v>
      </c>
    </row>
    <row r="9" customFormat="false" ht="15" hidden="false" customHeight="false" outlineLevel="0" collapsed="false">
      <c r="A9" s="14" t="s">
        <v>83</v>
      </c>
      <c r="B9" s="15" t="n">
        <v>0</v>
      </c>
      <c r="C9" s="14" t="n">
        <v>0</v>
      </c>
      <c r="D9" s="14" t="n">
        <v>40</v>
      </c>
      <c r="E9" s="14" t="n">
        <f aca="false">B9+C9+D9</f>
        <v>40</v>
      </c>
      <c r="F9" s="14" t="s">
        <v>80</v>
      </c>
    </row>
    <row r="10" customFormat="false" ht="15" hidden="false" customHeight="false" outlineLevel="0" collapsed="false">
      <c r="A10" s="14" t="s">
        <v>84</v>
      </c>
      <c r="B10" s="15" t="n">
        <v>0</v>
      </c>
      <c r="C10" s="14" t="n">
        <v>0</v>
      </c>
      <c r="D10" s="14" t="n">
        <v>0</v>
      </c>
      <c r="E10" s="14" t="n">
        <f aca="false">B10+C10+D10</f>
        <v>0</v>
      </c>
      <c r="F10" s="14" t="s">
        <v>85</v>
      </c>
    </row>
    <row r="11" customFormat="false" ht="15" hidden="false" customHeight="false" outlineLevel="0" collapsed="false">
      <c r="A11" s="8" t="s">
        <v>21</v>
      </c>
      <c r="B11" s="8" t="n">
        <f aca="false">SUM(B6:B10)</f>
        <v>0</v>
      </c>
      <c r="C11" s="8" t="n">
        <f aca="false">SUM(C6:C10)</f>
        <v>0</v>
      </c>
      <c r="D11" s="8" t="n">
        <f aca="false">SUM(D6:D10)</f>
        <v>160</v>
      </c>
      <c r="E11" s="8" t="n">
        <f aca="false">SUM(E6:E10)</f>
        <v>160</v>
      </c>
      <c r="F11" s="9"/>
    </row>
    <row r="13" customFormat="false" ht="15" hidden="false" customHeight="false" outlineLevel="0" collapsed="false">
      <c r="A13" s="10" t="s">
        <v>40</v>
      </c>
    </row>
    <row r="14" customFormat="false" ht="15" hidden="false" customHeight="false" outlineLevel="0" collapsed="false">
      <c r="A14" s="12" t="s">
        <v>86</v>
      </c>
    </row>
    <row r="15" customFormat="false" ht="15" hidden="false" customHeight="false" outlineLevel="0" collapsed="false">
      <c r="A15" s="12" t="s">
        <v>87</v>
      </c>
    </row>
    <row r="16" customFormat="false" ht="15" hidden="false" customHeight="false" outlineLevel="0" collapsed="false">
      <c r="A16" s="12" t="s">
        <v>88</v>
      </c>
    </row>
    <row r="17" customFormat="false" ht="15" hidden="false" customHeight="false" outlineLevel="0" collapsed="false">
      <c r="A17" s="12" t="s">
        <v>89</v>
      </c>
    </row>
    <row r="18" customFormat="false" ht="15" hidden="false" customHeight="false" outlineLevel="0" collapsed="false">
      <c r="A18" s="12" t="s">
        <v>90</v>
      </c>
    </row>
    <row r="19" customFormat="false" ht="15" hidden="false" customHeight="false" outlineLevel="0" collapsed="false">
      <c r="A19" s="12" t="s">
        <v>91</v>
      </c>
    </row>
    <row r="21" customFormat="false" ht="141" hidden="false" customHeight="false" outlineLevel="0" collapsed="false">
      <c r="A21" s="10" t="s">
        <v>44</v>
      </c>
      <c r="B21" s="16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"/>
    <col collapsed="false" customWidth="true" hidden="false" outlineLevel="0" max="3" min="3" style="0" width="18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44"/>
  </cols>
  <sheetData>
    <row r="1" customFormat="false" ht="17.35" hidden="false" customHeight="false" outlineLevel="0" collapsed="false">
      <c r="A1" s="1" t="s">
        <v>93</v>
      </c>
    </row>
    <row r="2" customFormat="false" ht="15" hidden="false" customHeight="false" outlineLevel="0" collapsed="false">
      <c r="A2" s="2" t="s">
        <v>94</v>
      </c>
    </row>
    <row r="3" customFormat="false" ht="15" hidden="false" customHeight="false" outlineLevel="0" collapsed="false">
      <c r="A3" s="11" t="s">
        <v>78</v>
      </c>
    </row>
    <row r="5" customFormat="false" ht="26.85" hidden="false" customHeight="false" outlineLevel="0" collapsed="false">
      <c r="A5" s="3" t="s">
        <v>30</v>
      </c>
      <c r="B5" s="3" t="s">
        <v>5</v>
      </c>
      <c r="C5" s="3" t="s">
        <v>31</v>
      </c>
      <c r="D5" s="3" t="s">
        <v>32</v>
      </c>
      <c r="E5" s="3" t="s">
        <v>33</v>
      </c>
      <c r="F5" s="3" t="s">
        <v>34</v>
      </c>
    </row>
    <row r="6" customFormat="false" ht="15" hidden="false" customHeight="false" outlineLevel="0" collapsed="false">
      <c r="A6" s="14" t="s">
        <v>9</v>
      </c>
      <c r="B6" s="15" t="n">
        <v>0</v>
      </c>
      <c r="C6" s="14" t="n">
        <v>0</v>
      </c>
      <c r="D6" s="14" t="n">
        <v>0</v>
      </c>
      <c r="E6" s="14" t="n">
        <f aca="false">B6+C6+D6</f>
        <v>0</v>
      </c>
      <c r="F6" s="14" t="s">
        <v>95</v>
      </c>
    </row>
    <row r="7" customFormat="false" ht="15" hidden="false" customHeight="false" outlineLevel="0" collapsed="false">
      <c r="A7" s="14" t="s">
        <v>12</v>
      </c>
      <c r="B7" s="15" t="n">
        <v>0</v>
      </c>
      <c r="C7" s="14" t="n">
        <v>0</v>
      </c>
      <c r="D7" s="14" t="n">
        <v>0</v>
      </c>
      <c r="E7" s="14" t="n">
        <f aca="false">B7+C7+D7</f>
        <v>0</v>
      </c>
      <c r="F7" s="14" t="s">
        <v>96</v>
      </c>
    </row>
    <row r="8" customFormat="false" ht="15" hidden="false" customHeight="false" outlineLevel="0" collapsed="false">
      <c r="A8" s="14" t="s">
        <v>13</v>
      </c>
      <c r="B8" s="15" t="n">
        <v>0</v>
      </c>
      <c r="C8" s="14" t="n">
        <v>0</v>
      </c>
      <c r="D8" s="14" t="n">
        <v>0</v>
      </c>
      <c r="E8" s="14" t="n">
        <f aca="false">B8+C8+D8</f>
        <v>0</v>
      </c>
      <c r="F8" s="14" t="s">
        <v>97</v>
      </c>
    </row>
    <row r="9" customFormat="false" ht="15" hidden="false" customHeight="false" outlineLevel="0" collapsed="false">
      <c r="A9" s="14" t="s">
        <v>14</v>
      </c>
      <c r="B9" s="15" t="n">
        <v>0</v>
      </c>
      <c r="C9" s="14" t="n">
        <v>0</v>
      </c>
      <c r="D9" s="14" t="n">
        <v>0</v>
      </c>
      <c r="E9" s="14" t="n">
        <f aca="false">B9+C9+D9</f>
        <v>0</v>
      </c>
      <c r="F9" s="14" t="s">
        <v>98</v>
      </c>
    </row>
    <row r="10" customFormat="false" ht="15" hidden="false" customHeight="false" outlineLevel="0" collapsed="false">
      <c r="A10" s="14" t="s">
        <v>99</v>
      </c>
      <c r="B10" s="15" t="n">
        <v>0</v>
      </c>
      <c r="C10" s="14" t="n">
        <v>0</v>
      </c>
      <c r="D10" s="14" t="n">
        <v>10</v>
      </c>
      <c r="E10" s="14" t="n">
        <f aca="false">B10+C10+D10</f>
        <v>10</v>
      </c>
      <c r="F10" s="14" t="s">
        <v>100</v>
      </c>
    </row>
    <row r="11" customFormat="false" ht="15" hidden="false" customHeight="false" outlineLevel="0" collapsed="false">
      <c r="A11" s="8" t="s">
        <v>21</v>
      </c>
      <c r="B11" s="8" t="n">
        <f aca="false">SUM(B6:B10)</f>
        <v>0</v>
      </c>
      <c r="C11" s="8" t="n">
        <f aca="false">SUM(C6:C10)</f>
        <v>0</v>
      </c>
      <c r="D11" s="8" t="n">
        <f aca="false">SUM(D6:D10)</f>
        <v>10</v>
      </c>
      <c r="E11" s="8" t="n">
        <f aca="false">SUM(E6:E10)</f>
        <v>10</v>
      </c>
      <c r="F11" s="9"/>
    </row>
    <row r="13" customFormat="false" ht="15" hidden="false" customHeight="false" outlineLevel="0" collapsed="false">
      <c r="A13" s="10" t="s">
        <v>40</v>
      </c>
    </row>
    <row r="14" customFormat="false" ht="15" hidden="false" customHeight="false" outlineLevel="0" collapsed="false">
      <c r="A14" s="12" t="s">
        <v>101</v>
      </c>
    </row>
    <row r="15" customFormat="false" ht="15" hidden="false" customHeight="false" outlineLevel="0" collapsed="false">
      <c r="A15" s="12" t="s">
        <v>102</v>
      </c>
    </row>
    <row r="16" customFormat="false" ht="15" hidden="false" customHeight="false" outlineLevel="0" collapsed="false">
      <c r="A16" s="12" t="s">
        <v>103</v>
      </c>
    </row>
    <row r="17" customFormat="false" ht="15" hidden="false" customHeight="false" outlineLevel="0" collapsed="false">
      <c r="A17" s="12" t="s">
        <v>104</v>
      </c>
    </row>
    <row r="18" customFormat="false" ht="15" hidden="false" customHeight="false" outlineLevel="0" collapsed="false">
      <c r="A18" s="12" t="s">
        <v>105</v>
      </c>
    </row>
    <row r="20" customFormat="false" ht="77.6" hidden="false" customHeight="false" outlineLevel="0" collapsed="false">
      <c r="A20" s="10" t="s">
        <v>44</v>
      </c>
      <c r="B20" s="16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"/>
    <col collapsed="false" customWidth="true" hidden="false" outlineLevel="0" max="3" min="3" style="0" width="18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44"/>
  </cols>
  <sheetData>
    <row r="1" customFormat="false" ht="17.35" hidden="false" customHeight="false" outlineLevel="0" collapsed="false">
      <c r="A1" s="1" t="s">
        <v>107</v>
      </c>
    </row>
    <row r="2" customFormat="false" ht="15" hidden="false" customHeight="false" outlineLevel="0" collapsed="false">
      <c r="A2" s="2" t="s">
        <v>108</v>
      </c>
    </row>
    <row r="3" customFormat="false" ht="15" hidden="false" customHeight="false" outlineLevel="0" collapsed="false">
      <c r="A3" s="11" t="s">
        <v>78</v>
      </c>
    </row>
    <row r="5" customFormat="false" ht="26.85" hidden="false" customHeight="false" outlineLevel="0" collapsed="false">
      <c r="A5" s="3" t="s">
        <v>30</v>
      </c>
      <c r="B5" s="3" t="s">
        <v>5</v>
      </c>
      <c r="C5" s="3" t="s">
        <v>31</v>
      </c>
      <c r="D5" s="3" t="s">
        <v>32</v>
      </c>
      <c r="E5" s="3" t="s">
        <v>33</v>
      </c>
      <c r="F5" s="3" t="s">
        <v>34</v>
      </c>
    </row>
    <row r="6" customFormat="false" ht="15" hidden="false" customHeight="false" outlineLevel="0" collapsed="false">
      <c r="A6" s="14" t="s">
        <v>109</v>
      </c>
      <c r="B6" s="15" t="n">
        <v>0</v>
      </c>
      <c r="C6" s="14" t="n">
        <v>0</v>
      </c>
      <c r="D6" s="14" t="n">
        <v>30</v>
      </c>
      <c r="E6" s="14" t="n">
        <f aca="false">B6+C6+D6</f>
        <v>30</v>
      </c>
      <c r="F6" s="14"/>
    </row>
    <row r="7" customFormat="false" ht="15" hidden="false" customHeight="false" outlineLevel="0" collapsed="false">
      <c r="A7" s="14" t="s">
        <v>110</v>
      </c>
      <c r="B7" s="15" t="n">
        <v>0</v>
      </c>
      <c r="C7" s="14" t="n">
        <v>0</v>
      </c>
      <c r="D7" s="14" t="n">
        <v>30</v>
      </c>
      <c r="E7" s="14" t="n">
        <f aca="false">B7+C7+D7</f>
        <v>30</v>
      </c>
      <c r="F7" s="14"/>
    </row>
    <row r="8" customFormat="false" ht="15" hidden="false" customHeight="false" outlineLevel="0" collapsed="false">
      <c r="A8" s="8" t="s">
        <v>21</v>
      </c>
      <c r="B8" s="8" t="n">
        <f aca="false">SUM(B6:B7)</f>
        <v>0</v>
      </c>
      <c r="C8" s="8" t="n">
        <f aca="false">SUM(C6:C7)</f>
        <v>0</v>
      </c>
      <c r="D8" s="8" t="n">
        <f aca="false">SUM(D6:D7)</f>
        <v>60</v>
      </c>
      <c r="E8" s="8" t="n">
        <f aca="false">SUM(E6:E7)</f>
        <v>60</v>
      </c>
      <c r="F8" s="9"/>
    </row>
    <row r="10" customFormat="false" ht="15" hidden="false" customHeight="false" outlineLevel="0" collapsed="false">
      <c r="A10" s="10" t="s">
        <v>40</v>
      </c>
    </row>
    <row r="11" customFormat="false" ht="15" hidden="false" customHeight="false" outlineLevel="0" collapsed="false">
      <c r="A11" s="12" t="s">
        <v>111</v>
      </c>
    </row>
    <row r="12" customFormat="false" ht="15" hidden="false" customHeight="false" outlineLevel="0" collapsed="false">
      <c r="A12" s="12" t="s">
        <v>112</v>
      </c>
    </row>
    <row r="13" customFormat="false" ht="15" hidden="false" customHeight="false" outlineLevel="0" collapsed="false">
      <c r="A13" s="12" t="s">
        <v>113</v>
      </c>
    </row>
    <row r="14" customFormat="false" ht="15" hidden="false" customHeight="false" outlineLevel="0" collapsed="false">
      <c r="A14" s="12" t="s">
        <v>114</v>
      </c>
    </row>
    <row r="15" customFormat="false" ht="15" hidden="false" customHeight="false" outlineLevel="0" collapsed="false">
      <c r="A15" s="12" t="s">
        <v>115</v>
      </c>
    </row>
    <row r="17" customFormat="false" ht="115.65" hidden="false" customHeight="false" outlineLevel="0" collapsed="false">
      <c r="A17" s="10" t="s">
        <v>44</v>
      </c>
      <c r="B17" s="16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92"/>
  </cols>
  <sheetData>
    <row r="1" customFormat="false" ht="17.35" hidden="false" customHeight="false" outlineLevel="0" collapsed="false">
      <c r="A1" s="1" t="s">
        <v>117</v>
      </c>
    </row>
    <row r="2" customFormat="false" ht="15" hidden="false" customHeight="false" outlineLevel="0" collapsed="false">
      <c r="A2" s="2" t="s">
        <v>118</v>
      </c>
    </row>
    <row r="4" customFormat="false" ht="15" hidden="false" customHeight="false" outlineLevel="0" collapsed="false">
      <c r="A4" s="19" t="s">
        <v>119</v>
      </c>
      <c r="B4" s="19" t="s">
        <v>120</v>
      </c>
      <c r="C4" s="19" t="s">
        <v>121</v>
      </c>
    </row>
    <row r="5" customFormat="false" ht="26.85" hidden="false" customHeight="false" outlineLevel="0" collapsed="false">
      <c r="A5" s="14" t="s">
        <v>122</v>
      </c>
      <c r="B5" s="14" t="s">
        <v>123</v>
      </c>
      <c r="C5" s="14" t="s">
        <v>124</v>
      </c>
    </row>
    <row r="6" customFormat="false" ht="26.85" hidden="false" customHeight="false" outlineLevel="0" collapsed="false">
      <c r="A6" s="14" t="s">
        <v>125</v>
      </c>
      <c r="B6" s="14" t="s">
        <v>126</v>
      </c>
      <c r="C6" s="14" t="s">
        <v>127</v>
      </c>
    </row>
    <row r="7" customFormat="false" ht="15" hidden="false" customHeight="false" outlineLevel="0" collapsed="false">
      <c r="A7" s="14" t="s">
        <v>128</v>
      </c>
      <c r="B7" s="14" t="s">
        <v>129</v>
      </c>
      <c r="C7" s="14" t="s">
        <v>130</v>
      </c>
    </row>
    <row r="8" customFormat="false" ht="26.85" hidden="false" customHeight="false" outlineLevel="0" collapsed="false">
      <c r="A8" s="14" t="s">
        <v>131</v>
      </c>
      <c r="B8" s="14" t="s">
        <v>132</v>
      </c>
      <c r="C8" s="14" t="s">
        <v>133</v>
      </c>
    </row>
    <row r="9" customFormat="false" ht="15" hidden="false" customHeight="false" outlineLevel="0" collapsed="false">
      <c r="A9" s="14" t="s">
        <v>134</v>
      </c>
      <c r="B9" s="14" t="s">
        <v>135</v>
      </c>
      <c r="C9" s="14" t="s">
        <v>136</v>
      </c>
    </row>
    <row r="10" customFormat="false" ht="26.85" hidden="false" customHeight="false" outlineLevel="0" collapsed="false">
      <c r="A10" s="14" t="s">
        <v>137</v>
      </c>
      <c r="B10" s="14" t="s">
        <v>138</v>
      </c>
      <c r="C10" s="14" t="s">
        <v>139</v>
      </c>
    </row>
    <row r="11" customFormat="false" ht="26.85" hidden="false" customHeight="false" outlineLevel="0" collapsed="false">
      <c r="A11" s="14" t="s">
        <v>140</v>
      </c>
      <c r="B11" s="14" t="s">
        <v>141</v>
      </c>
      <c r="C11" s="14" t="s">
        <v>142</v>
      </c>
    </row>
    <row r="12" customFormat="false" ht="26.85" hidden="false" customHeight="false" outlineLevel="0" collapsed="false">
      <c r="A12" s="14" t="s">
        <v>143</v>
      </c>
      <c r="B12" s="14" t="s">
        <v>144</v>
      </c>
      <c r="C12" s="14" t="s">
        <v>145</v>
      </c>
    </row>
    <row r="13" customFormat="false" ht="15" hidden="false" customHeight="false" outlineLevel="0" collapsed="false">
      <c r="A13" s="14" t="s">
        <v>146</v>
      </c>
      <c r="B13" s="14" t="s">
        <v>147</v>
      </c>
      <c r="C13" s="14" t="s">
        <v>148</v>
      </c>
    </row>
    <row r="14" customFormat="false" ht="26.85" hidden="false" customHeight="false" outlineLevel="0" collapsed="false">
      <c r="A14" s="14" t="s">
        <v>149</v>
      </c>
      <c r="B14" s="14" t="s">
        <v>150</v>
      </c>
      <c r="C14" s="14" t="s">
        <v>151</v>
      </c>
    </row>
    <row r="15" customFormat="false" ht="15" hidden="false" customHeight="false" outlineLevel="0" collapsed="false">
      <c r="A15" s="14" t="s">
        <v>152</v>
      </c>
      <c r="B15" s="14" t="s">
        <v>153</v>
      </c>
      <c r="C15" s="14" t="s">
        <v>154</v>
      </c>
    </row>
    <row r="16" customFormat="false" ht="15" hidden="false" customHeight="false" outlineLevel="0" collapsed="false">
      <c r="A16" s="14" t="s">
        <v>155</v>
      </c>
      <c r="B16" s="14" t="s">
        <v>156</v>
      </c>
      <c r="C16" s="14" t="s">
        <v>157</v>
      </c>
    </row>
    <row r="17" customFormat="false" ht="15" hidden="false" customHeight="false" outlineLevel="0" collapsed="false">
      <c r="A17" s="14" t="s">
        <v>158</v>
      </c>
      <c r="B17" s="14" t="s">
        <v>159</v>
      </c>
      <c r="C17" s="14" t="s">
        <v>160</v>
      </c>
    </row>
    <row r="18" customFormat="false" ht="26.85" hidden="false" customHeight="false" outlineLevel="0" collapsed="false">
      <c r="A18" s="14" t="s">
        <v>161</v>
      </c>
      <c r="B18" s="14" t="s">
        <v>162</v>
      </c>
      <c r="C18" s="14" t="s">
        <v>163</v>
      </c>
    </row>
    <row r="19" customFormat="false" ht="26.85" hidden="false" customHeight="false" outlineLevel="0" collapsed="false">
      <c r="A19" s="14" t="s">
        <v>164</v>
      </c>
      <c r="B19" s="14" t="s">
        <v>165</v>
      </c>
      <c r="C19" s="14" t="s">
        <v>166</v>
      </c>
    </row>
    <row r="20" customFormat="false" ht="15" hidden="false" customHeight="false" outlineLevel="0" collapsed="false">
      <c r="A20" s="14" t="s">
        <v>167</v>
      </c>
      <c r="B20" s="14" t="s">
        <v>168</v>
      </c>
      <c r="C20" s="14" t="s">
        <v>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2026-10-15T22:22:13Z</dcterms:created>
  <dc:creator>openpyxl</dc:creator>
  <dc:description/>
  <dc:language>en-US</dc:language>
  <cp:lastModifiedBy/>
  <dcterms:modified xsi:type="dcterms:W3CDTF">2026-10-15T22:22:13Z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